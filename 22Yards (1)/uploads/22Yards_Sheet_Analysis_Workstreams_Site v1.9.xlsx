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avya\Downloads\"/>
    </mc:Choice>
  </mc:AlternateContent>
  <xr:revisionPtr revIDLastSave="0" documentId="8_{5B703A72-7258-430E-A7D8-56BCB2E3137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 Analysis" sheetId="1" r:id="rId1"/>
    <sheet name="Workstream Totals" sheetId="2" r:id="rId2"/>
  </sheets>
  <definedNames>
    <definedName name="_xlnm._FilterDatabase" localSheetId="0" hidden="1">'Sheet Analysis'!$A$4:$E$41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2" l="1"/>
  <c r="B10" i="2"/>
  <c r="B9" i="2"/>
  <c r="B8" i="2"/>
  <c r="B7" i="2"/>
  <c r="B6" i="2"/>
  <c r="B18" i="2" s="1"/>
  <c r="B5" i="2"/>
  <c r="B17" i="2" s="1"/>
  <c r="B4" i="2"/>
  <c r="B16" i="2" s="1"/>
  <c r="B12" i="2" l="1"/>
</calcChain>
</file>

<file path=xl/sharedStrings.xml><?xml version="1.0" encoding="utf-8"?>
<sst xmlns="http://schemas.openxmlformats.org/spreadsheetml/2006/main" count="180" uniqueCount="134">
  <si>
    <t>22Yards workbook: sheet-by-sheet analysis with workstream assignment</t>
  </si>
  <si>
    <t>Area = primary team. Types under 'Other' are shown by their specific type: Content, Business, Legal, Marketing, Operational, Technical / SEO.</t>
  </si>
  <si>
    <t>#</t>
  </si>
  <si>
    <t>Sheet</t>
  </si>
  <si>
    <t>Area (primary team)</t>
  </si>
  <si>
    <t>Also involves</t>
  </si>
  <si>
    <t>What the sheet needs</t>
  </si>
  <si>
    <t>Track actions</t>
  </si>
  <si>
    <t>Operational</t>
  </si>
  <si>
    <t>Project tracking, client content and asset follow-up, business decisions</t>
  </si>
  <si>
    <t>Careers</t>
  </si>
  <si>
    <t>Content</t>
  </si>
  <si>
    <t>Shopify Changes (application form)</t>
  </si>
  <si>
    <t>Careers copy and job roles</t>
  </si>
  <si>
    <t>Order Cancellation</t>
  </si>
  <si>
    <t>Shopify Changes</t>
  </si>
  <si>
    <t>Business (policy wording)</t>
  </si>
  <si>
    <t>Cancellation and refund settings, notification emails</t>
  </si>
  <si>
    <t>Returns &amp; Exchanges</t>
  </si>
  <si>
    <t>Business</t>
  </si>
  <si>
    <t>UI/UX (non-returnable notice on product pages)</t>
  </si>
  <si>
    <t>Policy rules and content</t>
  </si>
  <si>
    <t>Shipping &amp; delivery</t>
  </si>
  <si>
    <t>UI/UX (delivery estimates)</t>
  </si>
  <si>
    <t>Shipping zones, rates, free-shipping rules, tracking</t>
  </si>
  <si>
    <t>Order Status</t>
  </si>
  <si>
    <t>UI/UX (customer-friendly status labels)</t>
  </si>
  <si>
    <t>Order status and tracking page setup</t>
  </si>
  <si>
    <t>Gift Card balance</t>
  </si>
  <si>
    <t>UI/UX (balance page)</t>
  </si>
  <si>
    <t>Gift card balance lookup</t>
  </si>
  <si>
    <t>Payment options</t>
  </si>
  <si>
    <t>UI/UX (payment badges)</t>
  </si>
  <si>
    <t>Payment gateways and methods</t>
  </si>
  <si>
    <t>Customer Care</t>
  </si>
  <si>
    <t>Support page content, contact details, chat hours</t>
  </si>
  <si>
    <t>Privacy Policy</t>
  </si>
  <si>
    <t>Legal</t>
  </si>
  <si>
    <t>Shopify Changes (consent and cookie banner)</t>
  </si>
  <si>
    <t>Legal content and review</t>
  </si>
  <si>
    <t>Promotions &amp; Discount</t>
  </si>
  <si>
    <t>UI/UX (Discounts page, verification flow)</t>
  </si>
  <si>
    <t>Discount codes, customer tags, verification apps (Phase 2)</t>
  </si>
  <si>
    <t>Feedback Forms</t>
  </si>
  <si>
    <t>UI/UX (form design)</t>
  </si>
  <si>
    <t>Survey questions and page content</t>
  </si>
  <si>
    <t>Get Help</t>
  </si>
  <si>
    <t>FAQ content; decide whether to keep it</t>
  </si>
  <si>
    <t>Subscribe &amp; Save</t>
  </si>
  <si>
    <t>UI/UX (product page selector, account portal)</t>
  </si>
  <si>
    <t>Subscription app setup</t>
  </si>
  <si>
    <t>Gift Cards</t>
  </si>
  <si>
    <t>UI/UX (virtual card design)</t>
  </si>
  <si>
    <t>Gift card products, preset amounts, occasion types, barcode and PIN</t>
  </si>
  <si>
    <t>Sponsorship</t>
  </si>
  <si>
    <t>Marketing</t>
  </si>
  <si>
    <t>UI/UX (application form)</t>
  </si>
  <si>
    <t>Programme rules, eligibility, application content</t>
  </si>
  <si>
    <t>Rewards Program</t>
  </si>
  <si>
    <t>UI/UX (points dashboard); Business (rules still awaited from client)</t>
  </si>
  <si>
    <t>Loyalty app, points and tiers</t>
  </si>
  <si>
    <t>Membership</t>
  </si>
  <si>
    <t>UI/UX (tier display); Business (tier definitions to reconcile)</t>
  </si>
  <si>
    <t>Tiers, member discounts, shipping perks</t>
  </si>
  <si>
    <t>Journal</t>
  </si>
  <si>
    <t>UI/UX (article templates)</t>
  </si>
  <si>
    <t>Editorial content and marketing</t>
  </si>
  <si>
    <t>Site Map</t>
  </si>
  <si>
    <t>UI/UX</t>
  </si>
  <si>
    <t>Shopify Changes (menu setup)</t>
  </si>
  <si>
    <t>Navigation, filters, footer, header icons</t>
  </si>
  <si>
    <t>Full Site – HL Plan &amp; Status</t>
  </si>
  <si>
    <t>Homepage panels, page inventory, design guidance</t>
  </si>
  <si>
    <t>Trade In</t>
  </si>
  <si>
    <t>UI/UX (value calculator, form design); Business (valuation rules)</t>
  </si>
  <si>
    <t>Trade-in request flow, store credit</t>
  </si>
  <si>
    <t>Full Site-Detailed Plan&amp;Status</t>
  </si>
  <si>
    <t>Empty planning sheet</t>
  </si>
  <si>
    <t>Overall Feedback-Status</t>
  </si>
  <si>
    <t>Empty status sheet</t>
  </si>
  <si>
    <t>Product Pages ideas</t>
  </si>
  <si>
    <t>Quantity stepper and safe-checkout badges</t>
  </si>
  <si>
    <t>Registration</t>
  </si>
  <si>
    <t>UI/UX (registration flow)</t>
  </si>
  <si>
    <t>Customer account fields</t>
  </si>
  <si>
    <t>Personalization</t>
  </si>
  <si>
    <t>UI/UX (profile onboarding)</t>
  </si>
  <si>
    <t>Customer profile data that drives defaults and offers</t>
  </si>
  <si>
    <t>Age Options</t>
  </si>
  <si>
    <t>UI/UX (level cards, age filter); Content (client must supply missing size data)</t>
  </si>
  <si>
    <t>Catalog age and size data, currently blank</t>
  </si>
  <si>
    <t>Main gears (hidden)</t>
  </si>
  <si>
    <t>UI/UX (nav mapping)</t>
  </si>
  <si>
    <t>Collections and category structure</t>
  </si>
  <si>
    <t>Home Page Content</t>
  </si>
  <si>
    <t>UI/UX (product cards)</t>
  </si>
  <si>
    <t>Sample product, price and size data</t>
  </si>
  <si>
    <t>Home Page Banner and punch line</t>
  </si>
  <si>
    <t>Content (banner images and rights)</t>
  </si>
  <si>
    <t>Hero banners and punchlines</t>
  </si>
  <si>
    <t>Fields for Products</t>
  </si>
  <si>
    <t>Shopify Changes (reviews, Notify Me, wishlist apps)</t>
  </si>
  <si>
    <t>Product page layout</t>
  </si>
  <si>
    <t>Training Gears</t>
  </si>
  <si>
    <t>UI/UX (Train menu)</t>
  </si>
  <si>
    <t>Training products and collections</t>
  </si>
  <si>
    <t>Non Functional Requirements</t>
  </si>
  <si>
    <t>UI/UX (tooltips, magnifier, Go Back); Business (support and customer strategy)</t>
  </si>
  <si>
    <t>Paging, consent, addresses, buyer-type pricing, coupons</t>
  </si>
  <si>
    <t>Bat customization</t>
  </si>
  <si>
    <t>UI/UX (configurator design)</t>
  </si>
  <si>
    <t>Custom bat options and pricing</t>
  </si>
  <si>
    <t>Training</t>
  </si>
  <si>
    <t>Shopify Changes (bat labels)</t>
  </si>
  <si>
    <t>Player names, bat styles, age labels</t>
  </si>
  <si>
    <t>Web Development Best Practise</t>
  </si>
  <si>
    <t>Technical / SEO</t>
  </si>
  <si>
    <t>UI/UX (mobile, accessibility)</t>
  </si>
  <si>
    <t>Performance, SEO, security guidance</t>
  </si>
  <si>
    <t>Workstream totals</t>
  </si>
  <si>
    <t>Area</t>
  </si>
  <si>
    <t>Count</t>
  </si>
  <si>
    <t>Sheets</t>
  </si>
  <si>
    <t>Site Map, Full Site – HL Plan &amp; Status, Product Pages ideas, Home Page Banner and punch line, Fields for Products</t>
  </si>
  <si>
    <t>Order Cancellation, Shipping &amp; delivery, Order Status, Gift Card balance, Payment options, Promotions &amp; Discount, Subscribe &amp; Save, Gift Cards, Rewards Program, Membership, Trade In, Registration, Personalization, Age Options, Main gears (hidden), Home Page Content, Training Gears, Non Functional Requirements, Bat customization</t>
  </si>
  <si>
    <t>Careers, Customer Care, Feedback Forms, Get Help, Journal, Training</t>
  </si>
  <si>
    <t>Track actions, Full Site-Detailed Plan&amp;Status, Overall Feedback-Status</t>
  </si>
  <si>
    <t>Total</t>
  </si>
  <si>
    <t>Rollup to the three original workstreams</t>
  </si>
  <si>
    <t>Workstream</t>
  </si>
  <si>
    <t>Made up of</t>
  </si>
  <si>
    <t>Other</t>
  </si>
  <si>
    <t>Content, Operational, Business, Legal, Marketing, Technical / SEO</t>
  </si>
  <si>
    <t>Note: counts are by primary team only. Many Shopify Changes sheets also need UI/UX (see 'Also involves' on the first tab).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</si>
</sst>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CE4D6"/>
      </patternFill>
    </fill>
    <fill>
      <patternFill patternType="solid">
        <fgColor rgb="FFE4DFEC"/>
        <bgColor rgb="FFD9E1F2"/>
      </patternFill>
    </fill>
    <fill>
      <patternFill patternType="solid">
        <fgColor rgb="FFDDEBF7"/>
        <bgColor rgb="FFD9E1F2"/>
      </patternFill>
    </fill>
    <fill>
      <patternFill patternType="solid">
        <fgColor rgb="FFD9E1F2"/>
        <bgColor rgb="FFE4DFE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0" fillId="0" borderId="1" xfId="0" applyBorder="1"/>
    <xf numFmtId="0" fontId="7" fillId="0" borderId="0" xfId="0" applyFont="1"/>
    <xf numFmtId="0" fontId="3" fillId="2" borderId="1" xfId="0" applyFont="1" applyFill="1" applyBorder="1"/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E4DFEC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5" customWidth="1"/>
    <col min="2" max="2" width="34" customWidth="1"/>
    <col min="3" max="3" width="22" customWidth="1"/>
    <col min="4" max="4" width="52" customWidth="1"/>
    <col min="5" max="5" width="58" customWidth="1"/>
  </cols>
  <sheetData>
    <row r="1" spans="1:5" ht="17.399999999999999" x14ac:dyDescent="0.3">
      <c r="A1" s="1" t="s">
        <v>0</v>
      </c>
    </row>
    <row r="2" spans="1:5" x14ac:dyDescent="0.3">
      <c r="A2" s="2" t="s">
        <v>1</v>
      </c>
    </row>
    <row r="4" spans="1:5" ht="24" customHeight="1" x14ac:dyDescent="0.3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ht="26.4" x14ac:dyDescent="0.3">
      <c r="A5" s="5">
        <v>1</v>
      </c>
      <c r="B5" s="6" t="s">
        <v>7</v>
      </c>
      <c r="C5" s="7" t="s">
        <v>8</v>
      </c>
      <c r="D5" s="6"/>
      <c r="E5" s="6" t="s">
        <v>9</v>
      </c>
    </row>
    <row r="6" spans="1:5" x14ac:dyDescent="0.3">
      <c r="A6" s="5">
        <v>2</v>
      </c>
      <c r="B6" s="6" t="s">
        <v>10</v>
      </c>
      <c r="C6" s="8" t="s">
        <v>11</v>
      </c>
      <c r="D6" s="6" t="s">
        <v>12</v>
      </c>
      <c r="E6" s="6" t="s">
        <v>13</v>
      </c>
    </row>
    <row r="7" spans="1:5" x14ac:dyDescent="0.3">
      <c r="A7" s="5">
        <v>3</v>
      </c>
      <c r="B7" s="6" t="s">
        <v>14</v>
      </c>
      <c r="C7" s="9" t="s">
        <v>15</v>
      </c>
      <c r="D7" s="6" t="s">
        <v>16</v>
      </c>
      <c r="E7" s="6" t="s">
        <v>17</v>
      </c>
    </row>
    <row r="8" spans="1:5" x14ac:dyDescent="0.3">
      <c r="A8" s="5">
        <v>4</v>
      </c>
      <c r="B8" s="6" t="s">
        <v>18</v>
      </c>
      <c r="C8" s="10" t="s">
        <v>19</v>
      </c>
      <c r="D8" s="6" t="s">
        <v>20</v>
      </c>
      <c r="E8" s="6" t="s">
        <v>21</v>
      </c>
    </row>
    <row r="9" spans="1:5" x14ac:dyDescent="0.3">
      <c r="A9" s="5">
        <v>5</v>
      </c>
      <c r="B9" s="6" t="s">
        <v>22</v>
      </c>
      <c r="C9" s="9" t="s">
        <v>15</v>
      </c>
      <c r="D9" s="6" t="s">
        <v>23</v>
      </c>
      <c r="E9" s="6" t="s">
        <v>24</v>
      </c>
    </row>
    <row r="10" spans="1:5" x14ac:dyDescent="0.3">
      <c r="A10" s="5">
        <v>6</v>
      </c>
      <c r="B10" s="6" t="s">
        <v>25</v>
      </c>
      <c r="C10" s="9" t="s">
        <v>15</v>
      </c>
      <c r="D10" s="6" t="s">
        <v>26</v>
      </c>
      <c r="E10" s="6" t="s">
        <v>27</v>
      </c>
    </row>
    <row r="11" spans="1:5" x14ac:dyDescent="0.3">
      <c r="A11" s="5">
        <v>7</v>
      </c>
      <c r="B11" s="6" t="s">
        <v>28</v>
      </c>
      <c r="C11" s="9" t="s">
        <v>15</v>
      </c>
      <c r="D11" s="6" t="s">
        <v>29</v>
      </c>
      <c r="E11" s="6" t="s">
        <v>30</v>
      </c>
    </row>
    <row r="12" spans="1:5" x14ac:dyDescent="0.3">
      <c r="A12" s="5">
        <v>8</v>
      </c>
      <c r="B12" s="6" t="s">
        <v>31</v>
      </c>
      <c r="C12" s="9" t="s">
        <v>15</v>
      </c>
      <c r="D12" s="6" t="s">
        <v>32</v>
      </c>
      <c r="E12" s="6" t="s">
        <v>33</v>
      </c>
    </row>
    <row r="13" spans="1:5" x14ac:dyDescent="0.3">
      <c r="A13" s="5">
        <v>9</v>
      </c>
      <c r="B13" s="6" t="s">
        <v>34</v>
      </c>
      <c r="C13" s="8" t="s">
        <v>11</v>
      </c>
      <c r="D13" s="6"/>
      <c r="E13" s="6" t="s">
        <v>35</v>
      </c>
    </row>
    <row r="14" spans="1:5" x14ac:dyDescent="0.3">
      <c r="A14" s="5">
        <v>10</v>
      </c>
      <c r="B14" s="6" t="s">
        <v>36</v>
      </c>
      <c r="C14" s="11" t="s">
        <v>37</v>
      </c>
      <c r="D14" s="6" t="s">
        <v>38</v>
      </c>
      <c r="E14" s="6" t="s">
        <v>39</v>
      </c>
    </row>
    <row r="15" spans="1:5" x14ac:dyDescent="0.3">
      <c r="A15" s="5">
        <v>11</v>
      </c>
      <c r="B15" s="6" t="s">
        <v>40</v>
      </c>
      <c r="C15" s="9" t="s">
        <v>15</v>
      </c>
      <c r="D15" s="6" t="s">
        <v>41</v>
      </c>
      <c r="E15" s="6" t="s">
        <v>42</v>
      </c>
    </row>
    <row r="16" spans="1:5" x14ac:dyDescent="0.3">
      <c r="A16" s="5">
        <v>12</v>
      </c>
      <c r="B16" s="6" t="s">
        <v>43</v>
      </c>
      <c r="C16" s="8" t="s">
        <v>11</v>
      </c>
      <c r="D16" s="6" t="s">
        <v>44</v>
      </c>
      <c r="E16" s="6" t="s">
        <v>45</v>
      </c>
    </row>
    <row r="17" spans="1:5" x14ac:dyDescent="0.3">
      <c r="A17" s="5">
        <v>13</v>
      </c>
      <c r="B17" s="6" t="s">
        <v>46</v>
      </c>
      <c r="C17" s="8" t="s">
        <v>11</v>
      </c>
      <c r="D17" s="6"/>
      <c r="E17" s="6" t="s">
        <v>47</v>
      </c>
    </row>
    <row r="18" spans="1:5" x14ac:dyDescent="0.3">
      <c r="A18" s="5">
        <v>14</v>
      </c>
      <c r="B18" s="6" t="s">
        <v>48</v>
      </c>
      <c r="C18" s="9" t="s">
        <v>15</v>
      </c>
      <c r="D18" s="6" t="s">
        <v>49</v>
      </c>
      <c r="E18" s="6" t="s">
        <v>50</v>
      </c>
    </row>
    <row r="19" spans="1:5" ht="26.4" x14ac:dyDescent="0.3">
      <c r="A19" s="5">
        <v>15</v>
      </c>
      <c r="B19" s="6" t="s">
        <v>51</v>
      </c>
      <c r="C19" s="9" t="s">
        <v>15</v>
      </c>
      <c r="D19" s="6" t="s">
        <v>52</v>
      </c>
      <c r="E19" s="6" t="s">
        <v>53</v>
      </c>
    </row>
    <row r="20" spans="1:5" x14ac:dyDescent="0.3">
      <c r="A20" s="5">
        <v>16</v>
      </c>
      <c r="B20" s="6" t="s">
        <v>54</v>
      </c>
      <c r="C20" s="12" t="s">
        <v>55</v>
      </c>
      <c r="D20" s="6" t="s">
        <v>56</v>
      </c>
      <c r="E20" s="6" t="s">
        <v>57</v>
      </c>
    </row>
    <row r="21" spans="1:5" ht="26.4" x14ac:dyDescent="0.3">
      <c r="A21" s="5">
        <v>17</v>
      </c>
      <c r="B21" s="6" t="s">
        <v>58</v>
      </c>
      <c r="C21" s="9" t="s">
        <v>15</v>
      </c>
      <c r="D21" s="6" t="s">
        <v>59</v>
      </c>
      <c r="E21" s="6" t="s">
        <v>60</v>
      </c>
    </row>
    <row r="22" spans="1:5" x14ac:dyDescent="0.3">
      <c r="A22" s="5">
        <v>18</v>
      </c>
      <c r="B22" s="6" t="s">
        <v>61</v>
      </c>
      <c r="C22" s="9" t="s">
        <v>15</v>
      </c>
      <c r="D22" s="6" t="s">
        <v>62</v>
      </c>
      <c r="E22" s="6" t="s">
        <v>63</v>
      </c>
    </row>
    <row r="23" spans="1:5" x14ac:dyDescent="0.3">
      <c r="A23" s="5">
        <v>19</v>
      </c>
      <c r="B23" s="6" t="s">
        <v>64</v>
      </c>
      <c r="C23" s="8" t="s">
        <v>11</v>
      </c>
      <c r="D23" s="6" t="s">
        <v>65</v>
      </c>
      <c r="E23" s="6" t="s">
        <v>66</v>
      </c>
    </row>
    <row r="24" spans="1:5" x14ac:dyDescent="0.3">
      <c r="A24" s="5">
        <v>20</v>
      </c>
      <c r="B24" s="6" t="s">
        <v>67</v>
      </c>
      <c r="C24" s="13" t="s">
        <v>68</v>
      </c>
      <c r="D24" s="6" t="s">
        <v>69</v>
      </c>
      <c r="E24" s="6" t="s">
        <v>70</v>
      </c>
    </row>
    <row r="25" spans="1:5" x14ac:dyDescent="0.3">
      <c r="A25" s="5">
        <v>21</v>
      </c>
      <c r="B25" s="6" t="s">
        <v>71</v>
      </c>
      <c r="C25" s="13" t="s">
        <v>68</v>
      </c>
      <c r="D25" s="6"/>
      <c r="E25" s="6" t="s">
        <v>72</v>
      </c>
    </row>
    <row r="26" spans="1:5" ht="26.4" x14ac:dyDescent="0.3">
      <c r="A26" s="5">
        <v>22</v>
      </c>
      <c r="B26" s="6" t="s">
        <v>73</v>
      </c>
      <c r="C26" s="9" t="s">
        <v>15</v>
      </c>
      <c r="D26" s="6" t="s">
        <v>74</v>
      </c>
      <c r="E26" s="6" t="s">
        <v>75</v>
      </c>
    </row>
    <row r="27" spans="1:5" x14ac:dyDescent="0.3">
      <c r="A27" s="5">
        <v>23</v>
      </c>
      <c r="B27" s="6" t="s">
        <v>76</v>
      </c>
      <c r="C27" s="7" t="s">
        <v>8</v>
      </c>
      <c r="D27" s="6"/>
      <c r="E27" s="6" t="s">
        <v>77</v>
      </c>
    </row>
    <row r="28" spans="1:5" x14ac:dyDescent="0.3">
      <c r="A28" s="5">
        <v>24</v>
      </c>
      <c r="B28" s="6" t="s">
        <v>78</v>
      </c>
      <c r="C28" s="7" t="s">
        <v>8</v>
      </c>
      <c r="D28" s="6"/>
      <c r="E28" s="6" t="s">
        <v>79</v>
      </c>
    </row>
    <row r="29" spans="1:5" x14ac:dyDescent="0.3">
      <c r="A29" s="5">
        <v>25</v>
      </c>
      <c r="B29" s="6" t="s">
        <v>80</v>
      </c>
      <c r="C29" s="13" t="s">
        <v>68</v>
      </c>
      <c r="D29" s="6"/>
      <c r="E29" s="6" t="s">
        <v>81</v>
      </c>
    </row>
    <row r="30" spans="1:5" x14ac:dyDescent="0.3">
      <c r="A30" s="5">
        <v>26</v>
      </c>
      <c r="B30" s="6" t="s">
        <v>82</v>
      </c>
      <c r="C30" s="9" t="s">
        <v>15</v>
      </c>
      <c r="D30" s="6" t="s">
        <v>83</v>
      </c>
      <c r="E30" s="6" t="s">
        <v>84</v>
      </c>
    </row>
    <row r="31" spans="1:5" x14ac:dyDescent="0.3">
      <c r="A31" s="5">
        <v>27</v>
      </c>
      <c r="B31" s="6" t="s">
        <v>85</v>
      </c>
      <c r="C31" s="9" t="s">
        <v>15</v>
      </c>
      <c r="D31" s="6" t="s">
        <v>86</v>
      </c>
      <c r="E31" s="6" t="s">
        <v>87</v>
      </c>
    </row>
    <row r="32" spans="1:5" ht="26.4" x14ac:dyDescent="0.3">
      <c r="A32" s="5">
        <v>28</v>
      </c>
      <c r="B32" s="6" t="s">
        <v>88</v>
      </c>
      <c r="C32" s="9" t="s">
        <v>15</v>
      </c>
      <c r="D32" s="6" t="s">
        <v>89</v>
      </c>
      <c r="E32" s="6" t="s">
        <v>90</v>
      </c>
    </row>
    <row r="33" spans="1:5" x14ac:dyDescent="0.3">
      <c r="A33" s="5">
        <v>29</v>
      </c>
      <c r="B33" s="6" t="s">
        <v>91</v>
      </c>
      <c r="C33" s="9" t="s">
        <v>15</v>
      </c>
      <c r="D33" s="6" t="s">
        <v>92</v>
      </c>
      <c r="E33" s="6" t="s">
        <v>93</v>
      </c>
    </row>
    <row r="34" spans="1:5" x14ac:dyDescent="0.3">
      <c r="A34" s="5">
        <v>30</v>
      </c>
      <c r="B34" s="6" t="s">
        <v>94</v>
      </c>
      <c r="C34" s="9" t="s">
        <v>15</v>
      </c>
      <c r="D34" s="6" t="s">
        <v>95</v>
      </c>
      <c r="E34" s="6" t="s">
        <v>96</v>
      </c>
    </row>
    <row r="35" spans="1:5" x14ac:dyDescent="0.3">
      <c r="A35" s="5">
        <v>31</v>
      </c>
      <c r="B35" s="6" t="s">
        <v>97</v>
      </c>
      <c r="C35" s="13" t="s">
        <v>68</v>
      </c>
      <c r="D35" s="6" t="s">
        <v>98</v>
      </c>
      <c r="E35" s="6" t="s">
        <v>99</v>
      </c>
    </row>
    <row r="36" spans="1:5" x14ac:dyDescent="0.3">
      <c r="A36" s="5">
        <v>32</v>
      </c>
      <c r="B36" s="6" t="s">
        <v>100</v>
      </c>
      <c r="C36" s="13" t="s">
        <v>68</v>
      </c>
      <c r="D36" s="6" t="s">
        <v>101</v>
      </c>
      <c r="E36" s="6" t="s">
        <v>102</v>
      </c>
    </row>
    <row r="37" spans="1:5" x14ac:dyDescent="0.3">
      <c r="A37" s="5">
        <v>33</v>
      </c>
      <c r="B37" s="6" t="s">
        <v>103</v>
      </c>
      <c r="C37" s="9" t="s">
        <v>15</v>
      </c>
      <c r="D37" s="6" t="s">
        <v>104</v>
      </c>
      <c r="E37" s="6" t="s">
        <v>105</v>
      </c>
    </row>
    <row r="38" spans="1:5" ht="26.4" x14ac:dyDescent="0.3">
      <c r="A38" s="5">
        <v>34</v>
      </c>
      <c r="B38" s="6" t="s">
        <v>106</v>
      </c>
      <c r="C38" s="9" t="s">
        <v>15</v>
      </c>
      <c r="D38" s="6" t="s">
        <v>107</v>
      </c>
      <c r="E38" s="6" t="s">
        <v>108</v>
      </c>
    </row>
    <row r="39" spans="1:5" x14ac:dyDescent="0.3">
      <c r="A39" s="5">
        <v>35</v>
      </c>
      <c r="B39" s="6" t="s">
        <v>109</v>
      </c>
      <c r="C39" s="9" t="s">
        <v>15</v>
      </c>
      <c r="D39" s="6" t="s">
        <v>110</v>
      </c>
      <c r="E39" s="6" t="s">
        <v>111</v>
      </c>
    </row>
    <row r="40" spans="1:5" x14ac:dyDescent="0.3">
      <c r="A40" s="5">
        <v>36</v>
      </c>
      <c r="B40" s="6" t="s">
        <v>112</v>
      </c>
      <c r="C40" s="8" t="s">
        <v>11</v>
      </c>
      <c r="D40" s="6" t="s">
        <v>113</v>
      </c>
      <c r="E40" s="6" t="s">
        <v>114</v>
      </c>
    </row>
    <row r="41" spans="1:5" x14ac:dyDescent="0.3">
      <c r="A41" s="5">
        <v>37</v>
      </c>
      <c r="B41" s="6" t="s">
        <v>115</v>
      </c>
      <c r="C41" s="14" t="s">
        <v>116</v>
      </c>
      <c r="D41" s="6" t="s">
        <v>117</v>
      </c>
      <c r="E41" s="6" t="s">
        <v>118</v>
      </c>
    </row>
  </sheetData>
  <autoFilter ref="A4:E4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zoomScaleNormal="100" workbookViewId="0"/>
  </sheetViews>
  <sheetFormatPr defaultColWidth="8.6640625" defaultRowHeight="14.4" x14ac:dyDescent="0.3"/>
  <cols>
    <col min="1" max="1" width="24" customWidth="1"/>
    <col min="2" max="2" width="9" customWidth="1"/>
    <col min="3" max="3" width="110" customWidth="1"/>
  </cols>
  <sheetData>
    <row r="1" spans="1:3" ht="17.399999999999999" x14ac:dyDescent="0.3">
      <c r="A1" s="1" t="s">
        <v>119</v>
      </c>
    </row>
    <row r="3" spans="1:3" x14ac:dyDescent="0.3">
      <c r="A3" s="15" t="s">
        <v>120</v>
      </c>
      <c r="B3" s="15" t="s">
        <v>121</v>
      </c>
      <c r="C3" s="15" t="s">
        <v>122</v>
      </c>
    </row>
    <row r="4" spans="1:3" x14ac:dyDescent="0.3">
      <c r="A4" s="13" t="s">
        <v>68</v>
      </c>
      <c r="B4" s="5">
        <f>COUNTIF('Sheet Analysis'!$C$5:$C$41,A4)</f>
        <v>5</v>
      </c>
      <c r="C4" s="6" t="s">
        <v>123</v>
      </c>
    </row>
    <row r="5" spans="1:3" ht="39.6" x14ac:dyDescent="0.3">
      <c r="A5" s="9" t="s">
        <v>15</v>
      </c>
      <c r="B5" s="5">
        <f>COUNTIF('Sheet Analysis'!$C$5:$C$41,A5)</f>
        <v>19</v>
      </c>
      <c r="C5" s="6" t="s">
        <v>124</v>
      </c>
    </row>
    <row r="6" spans="1:3" x14ac:dyDescent="0.3">
      <c r="A6" s="8" t="s">
        <v>11</v>
      </c>
      <c r="B6" s="5">
        <f>COUNTIF('Sheet Analysis'!$C$5:$C$41,A6)</f>
        <v>6</v>
      </c>
      <c r="C6" s="6" t="s">
        <v>125</v>
      </c>
    </row>
    <row r="7" spans="1:3" x14ac:dyDescent="0.3">
      <c r="A7" s="7" t="s">
        <v>8</v>
      </c>
      <c r="B7" s="5">
        <f>COUNTIF('Sheet Analysis'!$C$5:$C$41,A7)</f>
        <v>3</v>
      </c>
      <c r="C7" s="6" t="s">
        <v>126</v>
      </c>
    </row>
    <row r="8" spans="1:3" x14ac:dyDescent="0.3">
      <c r="A8" s="10" t="s">
        <v>19</v>
      </c>
      <c r="B8" s="5">
        <f>COUNTIF('Sheet Analysis'!$C$5:$C$41,A8)</f>
        <v>1</v>
      </c>
      <c r="C8" s="6" t="s">
        <v>18</v>
      </c>
    </row>
    <row r="9" spans="1:3" x14ac:dyDescent="0.3">
      <c r="A9" s="11" t="s">
        <v>37</v>
      </c>
      <c r="B9" s="5">
        <f>COUNTIF('Sheet Analysis'!$C$5:$C$41,A9)</f>
        <v>1</v>
      </c>
      <c r="C9" s="6" t="s">
        <v>36</v>
      </c>
    </row>
    <row r="10" spans="1:3" x14ac:dyDescent="0.3">
      <c r="A10" s="12" t="s">
        <v>55</v>
      </c>
      <c r="B10" s="5">
        <f>COUNTIF('Sheet Analysis'!$C$5:$C$41,A10)</f>
        <v>1</v>
      </c>
      <c r="C10" s="6" t="s">
        <v>54</v>
      </c>
    </row>
    <row r="11" spans="1:3" x14ac:dyDescent="0.3">
      <c r="A11" s="14" t="s">
        <v>116</v>
      </c>
      <c r="B11" s="5">
        <f>COUNTIF('Sheet Analysis'!$C$5:$C$41,A11)</f>
        <v>1</v>
      </c>
      <c r="C11" s="6" t="s">
        <v>115</v>
      </c>
    </row>
    <row r="12" spans="1:3" x14ac:dyDescent="0.3">
      <c r="A12" s="16" t="s">
        <v>127</v>
      </c>
      <c r="B12" s="17">
        <f>SUM(B4:B11)</f>
        <v>37</v>
      </c>
      <c r="C12" s="18"/>
    </row>
    <row r="14" spans="1:3" ht="15.6" x14ac:dyDescent="0.3">
      <c r="A14" s="19" t="s">
        <v>128</v>
      </c>
    </row>
    <row r="15" spans="1:3" x14ac:dyDescent="0.3">
      <c r="A15" s="20" t="s">
        <v>129</v>
      </c>
      <c r="B15" s="20" t="s">
        <v>121</v>
      </c>
      <c r="C15" s="20" t="s">
        <v>130</v>
      </c>
    </row>
    <row r="16" spans="1:3" x14ac:dyDescent="0.3">
      <c r="A16" s="21" t="s">
        <v>68</v>
      </c>
      <c r="B16" s="22">
        <f>B4</f>
        <v>5</v>
      </c>
      <c r="C16" s="23" t="s">
        <v>68</v>
      </c>
    </row>
    <row r="17" spans="1:3" x14ac:dyDescent="0.3">
      <c r="A17" s="21" t="s">
        <v>15</v>
      </c>
      <c r="B17" s="22">
        <f>B5</f>
        <v>19</v>
      </c>
      <c r="C17" s="23" t="s">
        <v>15</v>
      </c>
    </row>
    <row r="18" spans="1:3" x14ac:dyDescent="0.3">
      <c r="A18" s="21" t="s">
        <v>131</v>
      </c>
      <c r="B18" s="22">
        <f>SUM(B6:B11)</f>
        <v>13</v>
      </c>
      <c r="C18" s="23" t="s">
        <v>132</v>
      </c>
    </row>
    <row r="20" spans="1:3" x14ac:dyDescent="0.3">
      <c r="A20" s="2" t="s">
        <v>133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Analysis</vt:lpstr>
      <vt:lpstr>Workstream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Kaavya T S</cp:lastModifiedBy>
  <cp:revision>0</cp:revision>
  <dcterms:created xsi:type="dcterms:W3CDTF">2026-09-19T10:07:50Z</dcterms:created>
  <dcterms:modified xsi:type="dcterms:W3CDTF">2026-09-19T10:14:35Z</dcterms:modified>
  <dc:language>en-US</dc:language>
</cp:coreProperties>
</file>